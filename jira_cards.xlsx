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Tipo de item</t>
        </is>
      </c>
      <c r="B1" t="inlineStr">
        <is>
          <t>Chave</t>
        </is>
      </c>
      <c r="C1" t="inlineStr">
        <is>
          <t>Resumo</t>
        </is>
      </c>
      <c r="D1" t="inlineStr">
        <is>
          <t>Status</t>
        </is>
      </c>
      <c r="E1" t="inlineStr">
        <is>
          <t>SITUAÇÃO</t>
        </is>
      </c>
      <c r="F1" t="inlineStr">
        <is>
          <t>Veiculo - Marca/Modelo</t>
        </is>
      </c>
      <c r="G1" t="inlineStr">
        <is>
          <t>DT. PREVISÃO ENTREGA</t>
        </is>
      </c>
    </row>
    <row r="2">
      <c r="A2" t="inlineStr">
        <is>
          <t>Manta</t>
        </is>
      </c>
      <c r="B2">
        <f>HYPERLINK("https://carboncars.atlassian.net/browse/MANTA-30738", "MANTA-30738")</f>
        <v/>
      </c>
      <c r="C2" t="inlineStr">
        <is>
          <t>31138</t>
        </is>
      </c>
      <c r="D2" t="inlineStr">
        <is>
          <t>Liberado Engenharia</t>
        </is>
      </c>
      <c r="E2" t="inlineStr">
        <is>
          <t>⚪️RECEBIDO ENCAMINHADO</t>
        </is>
      </c>
      <c r="F2" t="inlineStr">
        <is>
          <t>TOYOTA - COROLLA SEDAN - 2026</t>
        </is>
      </c>
      <c r="G2" t="inlineStr">
        <is>
          <t>13/03/2026</t>
        </is>
      </c>
    </row>
    <row r="3">
      <c r="A3" t="inlineStr">
        <is>
          <t>Manta</t>
        </is>
      </c>
      <c r="B3">
        <f>HYPERLINK("https://carboncars.atlassian.net/browse/MANTA-30737", "MANTA-30737")</f>
        <v/>
      </c>
      <c r="C3" t="inlineStr">
        <is>
          <t>31137</t>
        </is>
      </c>
      <c r="D3" t="inlineStr">
        <is>
          <t>Liberado Engenharia</t>
        </is>
      </c>
      <c r="E3" t="inlineStr">
        <is>
          <t>⚪️RECEBIDO ENCAMINHADO</t>
        </is>
      </c>
      <c r="F3" t="inlineStr">
        <is>
          <t>TOYOTA - COROLLA SEDAN - 2026</t>
        </is>
      </c>
      <c r="G3" t="inlineStr">
        <is>
          <t>13/03/2026</t>
        </is>
      </c>
    </row>
    <row r="4">
      <c r="A4" t="inlineStr">
        <is>
          <t>Manta</t>
        </is>
      </c>
      <c r="B4">
        <f>HYPERLINK("https://carboncars.atlassian.net/browse/MANTA-30730", "MANTA-30730")</f>
        <v/>
      </c>
      <c r="C4" t="inlineStr">
        <is>
          <t>31130</t>
        </is>
      </c>
      <c r="D4" t="inlineStr">
        <is>
          <t>Liberado Engenharia</t>
        </is>
      </c>
      <c r="E4" t="inlineStr">
        <is>
          <t>⚪️RECEBIDO ENCAMINHADO</t>
        </is>
      </c>
      <c r="F4" t="inlineStr">
        <is>
          <t>TOYOTA - COROLLA CROSS - 2026</t>
        </is>
      </c>
      <c r="G4" t="inlineStr">
        <is>
          <t>13/03/2026</t>
        </is>
      </c>
    </row>
    <row r="5">
      <c r="A5" t="inlineStr">
        <is>
          <t>Manta</t>
        </is>
      </c>
      <c r="B5">
        <f>HYPERLINK("https://carboncars.atlassian.net/browse/MANTA-30720", "MANTA-30720")</f>
        <v/>
      </c>
      <c r="C5" t="inlineStr">
        <is>
          <t>30931 - ALT</t>
        </is>
      </c>
      <c r="D5" t="inlineStr">
        <is>
          <t>Liberado Engenharia</t>
        </is>
      </c>
      <c r="E5" t="inlineStr">
        <is>
          <t>🟢RECEBIDO LIBERADO</t>
        </is>
      </c>
      <c r="F5" t="inlineStr">
        <is>
          <t>TOYOTA - COROLLA CROSS - 2026</t>
        </is>
      </c>
      <c r="G5" t="inlineStr">
        <is>
          <t>06/03/2026</t>
        </is>
      </c>
    </row>
    <row r="6">
      <c r="A6" t="inlineStr">
        <is>
          <t>Manta</t>
        </is>
      </c>
      <c r="B6">
        <f>HYPERLINK("https://carboncars.atlassian.net/browse/MANTA-30718", "MANTA-30718")</f>
        <v/>
      </c>
      <c r="C6" t="inlineStr">
        <is>
          <t>31120</t>
        </is>
      </c>
      <c r="D6" t="inlineStr">
        <is>
          <t>Liberado Engenharia</t>
        </is>
      </c>
      <c r="E6" t="inlineStr">
        <is>
          <t>⚪️RECEBIDO ENCAMINHADO</t>
        </is>
      </c>
      <c r="F6" t="inlineStr">
        <is>
          <t>TOYOTA - COROLLA CROSS - 2026</t>
        </is>
      </c>
      <c r="G6" t="inlineStr">
        <is>
          <t>13/03/2026</t>
        </is>
      </c>
    </row>
    <row r="7">
      <c r="A7" t="inlineStr">
        <is>
          <t>Manta</t>
        </is>
      </c>
      <c r="B7">
        <f>HYPERLINK("https://carboncars.atlassian.net/browse/MANTA-30657", "MANTA-30657")</f>
        <v/>
      </c>
      <c r="C7" t="inlineStr">
        <is>
          <t>31060</t>
        </is>
      </c>
      <c r="D7" t="inlineStr">
        <is>
          <t>Liberado Engenharia</t>
        </is>
      </c>
      <c r="E7" t="inlineStr">
        <is>
          <t>⚪️RECEBIDO ENCAMINHADO</t>
        </is>
      </c>
      <c r="F7" t="inlineStr">
        <is>
          <t>TOYOTA - COROLLA CROSS - 2026</t>
        </is>
      </c>
      <c r="G7" t="inlineStr">
        <is>
          <t>13/03/2026</t>
        </is>
      </c>
    </row>
    <row r="8">
      <c r="A8" t="inlineStr">
        <is>
          <t>Manta</t>
        </is>
      </c>
      <c r="B8">
        <f>HYPERLINK("https://carboncars.atlassian.net/browse/MANTA-30649", "MANTA-30649")</f>
        <v/>
      </c>
      <c r="C8" t="inlineStr">
        <is>
          <t>31054</t>
        </is>
      </c>
      <c r="D8" t="inlineStr">
        <is>
          <t>Liberado Engenharia</t>
        </is>
      </c>
      <c r="E8" t="inlineStr">
        <is>
          <t>⚪️RECEBIDO ENCAMINHADO</t>
        </is>
      </c>
      <c r="F8" t="inlineStr">
        <is>
          <t>TOYOTA - COROLLA SEDAN - 2026</t>
        </is>
      </c>
      <c r="G8" t="inlineStr">
        <is>
          <t>13/03/2026</t>
        </is>
      </c>
    </row>
    <row r="9">
      <c r="A9" t="inlineStr">
        <is>
          <t>Manta</t>
        </is>
      </c>
      <c r="B9">
        <f>HYPERLINK("https://carboncars.atlassian.net/browse/MANTA-30626", "MANTA-30626")</f>
        <v/>
      </c>
      <c r="C9" t="inlineStr">
        <is>
          <t>31032</t>
        </is>
      </c>
      <c r="D9" t="inlineStr">
        <is>
          <t>Liberado Engenharia</t>
        </is>
      </c>
      <c r="E9" t="inlineStr">
        <is>
          <t>⚪️RECEBIDO ENCAMINHADO</t>
        </is>
      </c>
      <c r="F9" t="inlineStr">
        <is>
          <t>GWM - HAVAL H9 SUV - 2026</t>
        </is>
      </c>
      <c r="G9" t="inlineStr">
        <is>
          <t>09/03/2026</t>
        </is>
      </c>
    </row>
    <row r="10">
      <c r="A10" t="inlineStr">
        <is>
          <t>Manta</t>
        </is>
      </c>
      <c r="B10">
        <f>HYPERLINK("https://carboncars.atlassian.net/browse/MANTA-30624", "MANTA-30624")</f>
        <v/>
      </c>
      <c r="C10" t="inlineStr">
        <is>
          <t>31030</t>
        </is>
      </c>
      <c r="D10" t="inlineStr">
        <is>
          <t>Liberado Engenharia</t>
        </is>
      </c>
      <c r="E10" t="inlineStr">
        <is>
          <t>⚪️RECEBIDO ENCAMINHADO</t>
        </is>
      </c>
      <c r="F10" t="inlineStr">
        <is>
          <t>TOYOTA - COROLLA SEDAN - 2026</t>
        </is>
      </c>
      <c r="G10" t="inlineStr">
        <is>
          <t>13/03/2026</t>
        </is>
      </c>
    </row>
    <row r="11">
      <c r="A11" t="inlineStr">
        <is>
          <t>Manta</t>
        </is>
      </c>
      <c r="B11">
        <f>HYPERLINK("https://carboncars.atlassian.net/browse/MANTA-30622", "MANTA-30622")</f>
        <v/>
      </c>
      <c r="C11" t="inlineStr">
        <is>
          <t>31028</t>
        </is>
      </c>
      <c r="D11" t="inlineStr">
        <is>
          <t>Liberado Engenharia</t>
        </is>
      </c>
      <c r="E11" t="inlineStr">
        <is>
          <t>🟢RECEBIDO LIBERADO</t>
        </is>
      </c>
      <c r="F11" t="inlineStr">
        <is>
          <t>TOYOTA - COROLLA SEDAN - 2026</t>
        </is>
      </c>
      <c r="G11" t="inlineStr">
        <is>
          <t>06/03/2026</t>
        </is>
      </c>
    </row>
    <row r="12">
      <c r="A12" t="inlineStr">
        <is>
          <t>Manta</t>
        </is>
      </c>
      <c r="B12">
        <f>HYPERLINK("https://carboncars.atlassian.net/browse/MANTA-30620", "MANTA-30620")</f>
        <v/>
      </c>
      <c r="C12" t="inlineStr">
        <is>
          <t>31026</t>
        </is>
      </c>
      <c r="D12" t="inlineStr">
        <is>
          <t>Liberado Engenharia</t>
        </is>
      </c>
      <c r="E12" t="inlineStr">
        <is>
          <t>⚪️RECEBIDO ENCAMINHADO</t>
        </is>
      </c>
      <c r="F12" t="inlineStr">
        <is>
          <t>GWM - HAVAL H9 SUV - 2026</t>
        </is>
      </c>
      <c r="G12" t="inlineStr">
        <is>
          <t>09/03/2026</t>
        </is>
      </c>
    </row>
    <row r="13">
      <c r="A13" t="inlineStr">
        <is>
          <t>Manta</t>
        </is>
      </c>
      <c r="B13">
        <f>HYPERLINK("https://carboncars.atlassian.net/browse/MANTA-30619", "MANTA-30619")</f>
        <v/>
      </c>
      <c r="C13" t="inlineStr">
        <is>
          <t>31025</t>
        </is>
      </c>
      <c r="D13" t="inlineStr">
        <is>
          <t>Liberado Engenharia</t>
        </is>
      </c>
      <c r="E13" t="inlineStr">
        <is>
          <t>⚪️RECEBIDO ENCAMINHADO</t>
        </is>
      </c>
      <c r="F13" t="inlineStr">
        <is>
          <t>TOYOTA - COROLLA SEDAN - 2026</t>
        </is>
      </c>
      <c r="G13" t="inlineStr">
        <is>
          <t>13/03/2026</t>
        </is>
      </c>
    </row>
    <row r="14">
      <c r="A14" t="inlineStr">
        <is>
          <t>Manta</t>
        </is>
      </c>
      <c r="B14">
        <f>HYPERLINK("https://carboncars.atlassian.net/browse/MANTA-30615", "MANTA-30615")</f>
        <v/>
      </c>
      <c r="C14" t="inlineStr">
        <is>
          <t>31021</t>
        </is>
      </c>
      <c r="D14" t="inlineStr">
        <is>
          <t>Liberado Engenharia</t>
        </is>
      </c>
      <c r="E14" t="inlineStr">
        <is>
          <t>🟢RECEBIDO LIBERADO</t>
        </is>
      </c>
      <c r="F14" t="inlineStr">
        <is>
          <t>TOYOTA - COROLLA CROSS - 2026</t>
        </is>
      </c>
      <c r="G14" t="inlineStr">
        <is>
          <t>06/03/2026</t>
        </is>
      </c>
    </row>
    <row r="15">
      <c r="A15" t="inlineStr">
        <is>
          <t>Manta</t>
        </is>
      </c>
      <c r="B15">
        <f>HYPERLINK("https://carboncars.atlassian.net/browse/MANTA-30613", "MANTA-30613")</f>
        <v/>
      </c>
      <c r="C15" t="inlineStr">
        <is>
          <t>31019</t>
        </is>
      </c>
      <c r="D15" t="inlineStr">
        <is>
          <t>Liberado Engenharia</t>
        </is>
      </c>
      <c r="E15" t="inlineStr">
        <is>
          <t>🟢RECEBIDO LIBERADO</t>
        </is>
      </c>
      <c r="F15" t="inlineStr">
        <is>
          <t>TOYOTA - COROLLA CROSS - 2026</t>
        </is>
      </c>
      <c r="G15" t="inlineStr">
        <is>
          <t>06/03/2026</t>
        </is>
      </c>
    </row>
    <row r="16">
      <c r="A16" t="inlineStr">
        <is>
          <t>Manta</t>
        </is>
      </c>
      <c r="B16">
        <f>HYPERLINK("https://carboncars.atlassian.net/browse/MANTA-30610", "MANTA-30610")</f>
        <v/>
      </c>
      <c r="C16" t="inlineStr">
        <is>
          <t>31016</t>
        </is>
      </c>
      <c r="D16" t="inlineStr">
        <is>
          <t>Liberado Engenharia</t>
        </is>
      </c>
      <c r="E16" t="inlineStr">
        <is>
          <t>⚪️RECEBIDO ENCAMINHADO</t>
        </is>
      </c>
      <c r="F16" t="inlineStr">
        <is>
          <t>TOYOTA - COROLLA CROSS - 2026</t>
        </is>
      </c>
      <c r="G16" t="inlineStr">
        <is>
          <t>13/03/2026</t>
        </is>
      </c>
    </row>
    <row r="17">
      <c r="A17" t="inlineStr">
        <is>
          <t>Manta</t>
        </is>
      </c>
      <c r="B17">
        <f>HYPERLINK("https://carboncars.atlassian.net/browse/MANTA-30609", "MANTA-30609")</f>
        <v/>
      </c>
      <c r="C17" t="inlineStr">
        <is>
          <t>31015</t>
        </is>
      </c>
      <c r="D17" t="inlineStr">
        <is>
          <t>Liberado Engenharia</t>
        </is>
      </c>
      <c r="E17" t="inlineStr">
        <is>
          <t>🟢RECEBIDO LIBERADO</t>
        </is>
      </c>
      <c r="F17" t="inlineStr">
        <is>
          <t>TOYOTA - COROLLA CROSS - 2026</t>
        </is>
      </c>
      <c r="G17" t="inlineStr">
        <is>
          <t>06/03/2026</t>
        </is>
      </c>
    </row>
    <row r="18">
      <c r="A18" t="inlineStr">
        <is>
          <t>Manta</t>
        </is>
      </c>
      <c r="B18">
        <f>HYPERLINK("https://carboncars.atlassian.net/browse/MANTA-30608", "MANTA-30608")</f>
        <v/>
      </c>
      <c r="C18" t="inlineStr">
        <is>
          <t>31014</t>
        </is>
      </c>
      <c r="D18" t="inlineStr">
        <is>
          <t>Liberado Engenharia</t>
        </is>
      </c>
      <c r="E18" t="inlineStr">
        <is>
          <t>🟢RECEBIDO LIBERADO</t>
        </is>
      </c>
      <c r="F18" t="inlineStr">
        <is>
          <t>TOYOTA - COROLLA CROSS - 2026</t>
        </is>
      </c>
      <c r="G18" t="inlineStr">
        <is>
          <t>06/03/2026</t>
        </is>
      </c>
    </row>
    <row r="19">
      <c r="A19" t="inlineStr">
        <is>
          <t>Manta</t>
        </is>
      </c>
      <c r="B19">
        <f>HYPERLINK("https://carboncars.atlassian.net/browse/MANTA-30607", "MANTA-30607")</f>
        <v/>
      </c>
      <c r="C19" t="inlineStr">
        <is>
          <t>31013</t>
        </is>
      </c>
      <c r="D19" t="inlineStr">
        <is>
          <t>Liberado Engenharia</t>
        </is>
      </c>
      <c r="E19" t="inlineStr">
        <is>
          <t>🟢RECEBIDO LIBERADO</t>
        </is>
      </c>
      <c r="F19" t="inlineStr">
        <is>
          <t>TOYOTA - COROLLA SEDAN - 2026</t>
        </is>
      </c>
      <c r="G19" t="inlineStr">
        <is>
          <t>06/03/2026</t>
        </is>
      </c>
    </row>
    <row r="20">
      <c r="A20" t="inlineStr">
        <is>
          <t>Manta</t>
        </is>
      </c>
      <c r="B20">
        <f>HYPERLINK("https://carboncars.atlassian.net/browse/MANTA-30606", "MANTA-30606")</f>
        <v/>
      </c>
      <c r="C20" t="inlineStr">
        <is>
          <t>31012</t>
        </is>
      </c>
      <c r="D20" t="inlineStr">
        <is>
          <t>Liberado Engenharia</t>
        </is>
      </c>
      <c r="E20" t="inlineStr">
        <is>
          <t>🟢RECEBIDO LIBERADO</t>
        </is>
      </c>
      <c r="F20" t="inlineStr">
        <is>
          <t>TOYOTA - COROLLA CROSS - 2026</t>
        </is>
      </c>
      <c r="G20" t="inlineStr">
        <is>
          <t>06/03/2026</t>
        </is>
      </c>
    </row>
    <row r="21">
      <c r="A21" t="inlineStr">
        <is>
          <t>Manta</t>
        </is>
      </c>
      <c r="B21">
        <f>HYPERLINK("https://carboncars.atlassian.net/browse/MANTA-30602", "MANTA-30602")</f>
        <v/>
      </c>
      <c r="C21" t="inlineStr">
        <is>
          <t>31009</t>
        </is>
      </c>
      <c r="D21" t="inlineStr">
        <is>
          <t>Liberado Engenharia</t>
        </is>
      </c>
      <c r="E21" t="inlineStr">
        <is>
          <t>🟢RECEBIDO LIBERADO</t>
        </is>
      </c>
      <c r="F21" t="inlineStr">
        <is>
          <t>TOYOTA - COROLLA CROSS - 2026</t>
        </is>
      </c>
      <c r="G21" t="inlineStr">
        <is>
          <t>06/03/2026</t>
        </is>
      </c>
    </row>
    <row r="22">
      <c r="A22" t="inlineStr">
        <is>
          <t>Manta</t>
        </is>
      </c>
      <c r="B22">
        <f>HYPERLINK("https://carboncars.atlassian.net/browse/MANTA-30600", "MANTA-30600")</f>
        <v/>
      </c>
      <c r="C22" t="inlineStr">
        <is>
          <t>31006</t>
        </is>
      </c>
      <c r="D22" t="inlineStr">
        <is>
          <t>Liberado Engenharia</t>
        </is>
      </c>
      <c r="E22" t="inlineStr">
        <is>
          <t>🟢RECEBIDO LIBERADO</t>
        </is>
      </c>
      <c r="F22" t="inlineStr">
        <is>
          <t>TOYOTA - COROLLA CROSS - 2026</t>
        </is>
      </c>
      <c r="G22" t="inlineStr">
        <is>
          <t>06/03/2026</t>
        </is>
      </c>
    </row>
    <row r="23">
      <c r="A23" t="inlineStr">
        <is>
          <t>Manta</t>
        </is>
      </c>
      <c r="B23">
        <f>HYPERLINK("https://carboncars.atlassian.net/browse/MANTA-30597", "MANTA-30597")</f>
        <v/>
      </c>
      <c r="C23" t="inlineStr">
        <is>
          <t>31003</t>
        </is>
      </c>
      <c r="D23" t="inlineStr">
        <is>
          <t>Liberado Engenharia</t>
        </is>
      </c>
      <c r="E23" t="inlineStr">
        <is>
          <t>🟢RECEBIDO LIBERADO</t>
        </is>
      </c>
      <c r="F23" t="inlineStr">
        <is>
          <t>TOYOTA - COROLLA CROSS - 2026</t>
        </is>
      </c>
      <c r="G23" t="inlineStr">
        <is>
          <t>06/03/2026</t>
        </is>
      </c>
    </row>
    <row r="24">
      <c r="A24" t="inlineStr">
        <is>
          <t>Manta</t>
        </is>
      </c>
      <c r="B24">
        <f>HYPERLINK("https://carboncars.atlassian.net/browse/MANTA-30595", "MANTA-30595")</f>
        <v/>
      </c>
      <c r="C24" t="inlineStr">
        <is>
          <t>31001</t>
        </is>
      </c>
      <c r="D24" t="inlineStr">
        <is>
          <t>Liberado Engenharia</t>
        </is>
      </c>
      <c r="E24" t="inlineStr">
        <is>
          <t>🟢RECEBIDO LIBERADO</t>
        </is>
      </c>
      <c r="F24" t="inlineStr">
        <is>
          <t>TOYOTA - COROLLA SEDAN - 2026</t>
        </is>
      </c>
      <c r="G24" t="inlineStr">
        <is>
          <t>06/03/2026</t>
        </is>
      </c>
    </row>
    <row r="25">
      <c r="A25" t="inlineStr">
        <is>
          <t>Manta</t>
        </is>
      </c>
      <c r="B25">
        <f>HYPERLINK("https://carboncars.atlassian.net/browse/MANTA-30594", "MANTA-30594")</f>
        <v/>
      </c>
      <c r="C25" t="inlineStr">
        <is>
          <t>31000</t>
        </is>
      </c>
      <c r="D25" t="inlineStr">
        <is>
          <t>Liberado Engenharia</t>
        </is>
      </c>
      <c r="E25" t="inlineStr">
        <is>
          <t>⚪️RECEBIDO ENCAMINHADO</t>
        </is>
      </c>
      <c r="F25" t="inlineStr">
        <is>
          <t>TOYOTA - COROLLA SEDAN - 2026</t>
        </is>
      </c>
      <c r="G25" t="inlineStr">
        <is>
          <t>13/03/2026</t>
        </is>
      </c>
    </row>
    <row r="26">
      <c r="A26" t="inlineStr">
        <is>
          <t>Manta</t>
        </is>
      </c>
      <c r="B26">
        <f>HYPERLINK("https://carboncars.atlassian.net/browse/MANTA-30593", "MANTA-30593")</f>
        <v/>
      </c>
      <c r="C26" t="inlineStr">
        <is>
          <t>30999</t>
        </is>
      </c>
      <c r="D26" t="inlineStr">
        <is>
          <t>Liberado Engenharia</t>
        </is>
      </c>
      <c r="E26" t="inlineStr">
        <is>
          <t>🟢RECEBIDO LIBERADO</t>
        </is>
      </c>
      <c r="F26" t="inlineStr">
        <is>
          <t>TOYOTA - COROLLA SEDAN - 2026</t>
        </is>
      </c>
      <c r="G26" t="inlineStr">
        <is>
          <t>06/03/2026</t>
        </is>
      </c>
    </row>
    <row r="27">
      <c r="A27" t="inlineStr">
        <is>
          <t>Manta</t>
        </is>
      </c>
      <c r="B27">
        <f>HYPERLINK("https://carboncars.atlassian.net/browse/MANTA-30589", "MANTA-30589")</f>
        <v/>
      </c>
      <c r="C27" t="inlineStr">
        <is>
          <t>30995</t>
        </is>
      </c>
      <c r="D27" t="inlineStr">
        <is>
          <t>Liberado Engenharia</t>
        </is>
      </c>
      <c r="E27" t="inlineStr">
        <is>
          <t>🟢RECEBIDO LIBERADO</t>
        </is>
      </c>
      <c r="F27" t="inlineStr">
        <is>
          <t>TOYOTA - COROLLA CROSS - 2026</t>
        </is>
      </c>
      <c r="G27" t="inlineStr">
        <is>
          <t>06/03/2026</t>
        </is>
      </c>
    </row>
    <row r="28">
      <c r="A28" t="inlineStr">
        <is>
          <t>Manta</t>
        </is>
      </c>
      <c r="B28">
        <f>HYPERLINK("https://carboncars.atlassian.net/browse/MANTA-30588", "MANTA-30588")</f>
        <v/>
      </c>
      <c r="C28" t="inlineStr">
        <is>
          <t>30994</t>
        </is>
      </c>
      <c r="D28" t="inlineStr">
        <is>
          <t>Liberado Engenharia</t>
        </is>
      </c>
      <c r="E28" t="inlineStr">
        <is>
          <t>🟢RECEBIDO LIBERADO</t>
        </is>
      </c>
      <c r="F28" t="inlineStr">
        <is>
          <t>TOYOTA - COROLLA CROSS - 2026</t>
        </is>
      </c>
      <c r="G28" t="inlineStr">
        <is>
          <t>06/03/2026</t>
        </is>
      </c>
    </row>
    <row r="29">
      <c r="A29" t="inlineStr">
        <is>
          <t>Manta</t>
        </is>
      </c>
      <c r="B29">
        <f>HYPERLINK("https://carboncars.atlassian.net/browse/MANTA-30586", "MANTA-30586")</f>
        <v/>
      </c>
      <c r="C29" t="inlineStr">
        <is>
          <t>30992</t>
        </is>
      </c>
      <c r="D29" t="inlineStr">
        <is>
          <t>Liberado Engenharia</t>
        </is>
      </c>
      <c r="E29" t="inlineStr">
        <is>
          <t>🟢RECEBIDO LIBERADO</t>
        </is>
      </c>
      <c r="F29" t="inlineStr">
        <is>
          <t>TOYOTA - COROLLA CROSS - 2026</t>
        </is>
      </c>
      <c r="G29" t="inlineStr">
        <is>
          <t>06/03/2026</t>
        </is>
      </c>
    </row>
    <row r="30">
      <c r="A30" t="inlineStr">
        <is>
          <t>Manta</t>
        </is>
      </c>
      <c r="B30">
        <f>HYPERLINK("https://carboncars.atlassian.net/browse/MANTA-30585", "MANTA-30585")</f>
        <v/>
      </c>
      <c r="C30" t="inlineStr">
        <is>
          <t>30991</t>
        </is>
      </c>
      <c r="D30" t="inlineStr">
        <is>
          <t>Liberado Engenharia</t>
        </is>
      </c>
      <c r="E30" t="inlineStr">
        <is>
          <t>🟢RECEBIDO LIBERADO</t>
        </is>
      </c>
      <c r="F30" t="inlineStr">
        <is>
          <t>TOYOTA - COROLLA CROSS - 2026</t>
        </is>
      </c>
      <c r="G30" t="inlineStr">
        <is>
          <t>06/03/2026</t>
        </is>
      </c>
    </row>
    <row r="31">
      <c r="A31" t="inlineStr">
        <is>
          <t>Manta</t>
        </is>
      </c>
      <c r="B31">
        <f>HYPERLINK("https://carboncars.atlassian.net/browse/MANTA-30584", "MANTA-30584")</f>
        <v/>
      </c>
      <c r="C31" t="inlineStr">
        <is>
          <t>30990</t>
        </is>
      </c>
      <c r="D31" t="inlineStr">
        <is>
          <t>Liberado Engenharia</t>
        </is>
      </c>
      <c r="E31" t="inlineStr">
        <is>
          <t>🟢RECEBIDO LIBERADO</t>
        </is>
      </c>
      <c r="F31" t="inlineStr">
        <is>
          <t>TOYOTA - COROLLA SEDAN - 2026</t>
        </is>
      </c>
      <c r="G31" t="inlineStr">
        <is>
          <t>06/03/2026</t>
        </is>
      </c>
    </row>
    <row r="32">
      <c r="A32" t="inlineStr">
        <is>
          <t>Manta</t>
        </is>
      </c>
      <c r="B32">
        <f>HYPERLINK("https://carboncars.atlassian.net/browse/MANTA-30583", "MANTA-30583")</f>
        <v/>
      </c>
      <c r="C32" t="inlineStr">
        <is>
          <t>30989</t>
        </is>
      </c>
      <c r="D32" t="inlineStr">
        <is>
          <t>Liberado Engenharia</t>
        </is>
      </c>
      <c r="E32" t="inlineStr">
        <is>
          <t>🟢RECEBIDO LIBERADO</t>
        </is>
      </c>
      <c r="F32" t="inlineStr">
        <is>
          <t>TOYOTA - COROLLA SEDAN - 2026</t>
        </is>
      </c>
      <c r="G32" t="inlineStr">
        <is>
          <t>06/03/2026</t>
        </is>
      </c>
    </row>
    <row r="33">
      <c r="A33" t="inlineStr">
        <is>
          <t>Manta</t>
        </is>
      </c>
      <c r="B33">
        <f>HYPERLINK("https://carboncars.atlassian.net/browse/MANTA-30582", "MANTA-30582")</f>
        <v/>
      </c>
      <c r="C33" t="inlineStr">
        <is>
          <t>30988</t>
        </is>
      </c>
      <c r="D33" t="inlineStr">
        <is>
          <t>Liberado Engenharia</t>
        </is>
      </c>
      <c r="E33" t="inlineStr">
        <is>
          <t>🟢RECEBIDO LIBERADO</t>
        </is>
      </c>
      <c r="F33" t="inlineStr">
        <is>
          <t>TOYOTA - COROLLA SEDAN - 2026</t>
        </is>
      </c>
      <c r="G33" t="inlineStr">
        <is>
          <t>06/03/2026</t>
        </is>
      </c>
    </row>
    <row r="34">
      <c r="A34" t="inlineStr">
        <is>
          <t>Manta</t>
        </is>
      </c>
      <c r="B34">
        <f>HYPERLINK("https://carboncars.atlassian.net/browse/MANTA-30581", "MANTA-30581")</f>
        <v/>
      </c>
      <c r="C34" t="inlineStr">
        <is>
          <t>30987</t>
        </is>
      </c>
      <c r="D34" t="inlineStr">
        <is>
          <t>Liberado Engenharia</t>
        </is>
      </c>
      <c r="E34" t="inlineStr">
        <is>
          <t>🟢RECEBIDO LIBERADO</t>
        </is>
      </c>
      <c r="F34" t="inlineStr">
        <is>
          <t>TOYOTA - COROLLA SEDAN - 2026</t>
        </is>
      </c>
      <c r="G34" t="inlineStr">
        <is>
          <t>06/03/2026</t>
        </is>
      </c>
    </row>
    <row r="35">
      <c r="A35" t="inlineStr">
        <is>
          <t>Manta</t>
        </is>
      </c>
      <c r="B35">
        <f>HYPERLINK("https://carboncars.atlassian.net/browse/MANTA-30580", "MANTA-30580")</f>
        <v/>
      </c>
      <c r="C35" t="inlineStr">
        <is>
          <t>30986</t>
        </is>
      </c>
      <c r="D35" t="inlineStr">
        <is>
          <t>Liberado Engenharia</t>
        </is>
      </c>
      <c r="E35" t="inlineStr">
        <is>
          <t>🟢RECEBIDO LIBERADO</t>
        </is>
      </c>
      <c r="F35" t="inlineStr">
        <is>
          <t>TOYOTA - COROLLA SEDAN - 2026</t>
        </is>
      </c>
      <c r="G35" t="inlineStr">
        <is>
          <t>06/03/2026</t>
        </is>
      </c>
    </row>
    <row r="36">
      <c r="A36" t="inlineStr">
        <is>
          <t>Manta</t>
        </is>
      </c>
      <c r="B36">
        <f>HYPERLINK("https://carboncars.atlassian.net/browse/MANTA-30579", "MANTA-30579")</f>
        <v/>
      </c>
      <c r="C36" t="inlineStr">
        <is>
          <t>30985</t>
        </is>
      </c>
      <c r="D36" t="inlineStr">
        <is>
          <t>Liberado Engenharia</t>
        </is>
      </c>
      <c r="E36" t="inlineStr">
        <is>
          <t>🟢RECEBIDO LIBERADO</t>
        </is>
      </c>
      <c r="F36" t="inlineStr">
        <is>
          <t>TOYOTA - COROLLA SEDAN - 2026</t>
        </is>
      </c>
      <c r="G36" t="inlineStr">
        <is>
          <t>06/03/2026</t>
        </is>
      </c>
    </row>
    <row r="37">
      <c r="A37" t="inlineStr">
        <is>
          <t>Manta</t>
        </is>
      </c>
      <c r="B37">
        <f>HYPERLINK("https://carboncars.atlassian.net/browse/MANTA-30578", "MANTA-30578")</f>
        <v/>
      </c>
      <c r="C37" t="inlineStr">
        <is>
          <t>30984</t>
        </is>
      </c>
      <c r="D37" t="inlineStr">
        <is>
          <t>Liberado Engenharia</t>
        </is>
      </c>
      <c r="E37" t="inlineStr">
        <is>
          <t>🟢RECEBIDO LIBERADO</t>
        </is>
      </c>
      <c r="F37" t="inlineStr">
        <is>
          <t>TOYOTA - COROLLA SEDAN - 2026</t>
        </is>
      </c>
      <c r="G37" t="inlineStr">
        <is>
          <t>06/03/2026</t>
        </is>
      </c>
    </row>
    <row r="38">
      <c r="A38" t="inlineStr">
        <is>
          <t>Manta</t>
        </is>
      </c>
      <c r="B38">
        <f>HYPERLINK("https://carboncars.atlassian.net/browse/MANTA-30577", "MANTA-30577")</f>
        <v/>
      </c>
      <c r="C38" t="inlineStr">
        <is>
          <t>30983</t>
        </is>
      </c>
      <c r="D38" t="inlineStr">
        <is>
          <t>Liberado Engenharia</t>
        </is>
      </c>
      <c r="E38" t="inlineStr">
        <is>
          <t>🟢RECEBIDO LIBERADO</t>
        </is>
      </c>
      <c r="F38" t="inlineStr">
        <is>
          <t>TOYOTA - COROLLA SEDAN - 2026</t>
        </is>
      </c>
      <c r="G38" t="inlineStr">
        <is>
          <t>06/03/2026</t>
        </is>
      </c>
    </row>
    <row r="39">
      <c r="A39" t="inlineStr">
        <is>
          <t>Manta</t>
        </is>
      </c>
      <c r="B39">
        <f>HYPERLINK("https://carboncars.atlassian.net/browse/MANTA-30576", "MANTA-30576")</f>
        <v/>
      </c>
      <c r="C39" t="inlineStr">
        <is>
          <t>30982</t>
        </is>
      </c>
      <c r="D39" t="inlineStr">
        <is>
          <t>Liberado Engenharia</t>
        </is>
      </c>
      <c r="E39" t="inlineStr">
        <is>
          <t>🟢RECEBIDO LIBERADO</t>
        </is>
      </c>
      <c r="F39" t="inlineStr">
        <is>
          <t>TOYOTA - COROLLA SEDAN - 2026</t>
        </is>
      </c>
      <c r="G39" t="inlineStr">
        <is>
          <t>06/03/2026</t>
        </is>
      </c>
    </row>
    <row r="40">
      <c r="A40" t="inlineStr">
        <is>
          <t>Manta</t>
        </is>
      </c>
      <c r="B40">
        <f>HYPERLINK("https://carboncars.atlassian.net/browse/MANTA-30575", "MANTA-30575")</f>
        <v/>
      </c>
      <c r="C40" t="inlineStr">
        <is>
          <t>30981</t>
        </is>
      </c>
      <c r="D40" t="inlineStr">
        <is>
          <t>Liberado Engenharia</t>
        </is>
      </c>
      <c r="E40" t="inlineStr">
        <is>
          <t>🟢RECEBIDO LIBERADO</t>
        </is>
      </c>
      <c r="F40" t="inlineStr">
        <is>
          <t>TOYOTA - COROLLA SEDAN - 2026</t>
        </is>
      </c>
      <c r="G40" t="inlineStr">
        <is>
          <t>06/03/2026</t>
        </is>
      </c>
    </row>
    <row r="41">
      <c r="A41" t="inlineStr">
        <is>
          <t>Manta</t>
        </is>
      </c>
      <c r="B41">
        <f>HYPERLINK("https://carboncars.atlassian.net/browse/MANTA-30574", "MANTA-30574")</f>
        <v/>
      </c>
      <c r="C41" t="inlineStr">
        <is>
          <t>30980</t>
        </is>
      </c>
      <c r="D41" t="inlineStr">
        <is>
          <t>Liberado Engenharia</t>
        </is>
      </c>
      <c r="E41" t="inlineStr">
        <is>
          <t>🟢RECEBIDO LIBERADO</t>
        </is>
      </c>
      <c r="F41" t="inlineStr">
        <is>
          <t>TOYOTA - COROLLA CROSS - 2026</t>
        </is>
      </c>
      <c r="G41" t="inlineStr">
        <is>
          <t>06/03/2026</t>
        </is>
      </c>
    </row>
    <row r="42">
      <c r="A42" t="inlineStr">
        <is>
          <t>Manta</t>
        </is>
      </c>
      <c r="B42">
        <f>HYPERLINK("https://carboncars.atlassian.net/browse/MANTA-30573", "MANTA-30573")</f>
        <v/>
      </c>
      <c r="C42" t="inlineStr">
        <is>
          <t>30979</t>
        </is>
      </c>
      <c r="D42" t="inlineStr">
        <is>
          <t>Liberado Engenharia</t>
        </is>
      </c>
      <c r="E42" t="inlineStr">
        <is>
          <t>🟢RECEBIDO LIBERADO</t>
        </is>
      </c>
      <c r="F42" t="inlineStr">
        <is>
          <t>TOYOTA - COROLLA CROSS - 2026</t>
        </is>
      </c>
      <c r="G42" t="inlineStr">
        <is>
          <t>06/03/2026</t>
        </is>
      </c>
    </row>
    <row r="43">
      <c r="A43" t="inlineStr">
        <is>
          <t>Manta</t>
        </is>
      </c>
      <c r="B43">
        <f>HYPERLINK("https://carboncars.atlassian.net/browse/MANTA-30571", "MANTA-30571")</f>
        <v/>
      </c>
      <c r="C43" t="inlineStr">
        <is>
          <t>30977</t>
        </is>
      </c>
      <c r="D43" t="inlineStr">
        <is>
          <t>Liberado Engenharia</t>
        </is>
      </c>
      <c r="E43" t="inlineStr">
        <is>
          <t>🟢RECEBIDO LIBERADO</t>
        </is>
      </c>
      <c r="F43" t="inlineStr">
        <is>
          <t>TOYOTA - COROLLA SEDAN - 2026</t>
        </is>
      </c>
      <c r="G43" t="inlineStr">
        <is>
          <t>06/03/2026</t>
        </is>
      </c>
    </row>
    <row r="44">
      <c r="A44" t="inlineStr">
        <is>
          <t>Manta</t>
        </is>
      </c>
      <c r="B44">
        <f>HYPERLINK("https://carboncars.atlassian.net/browse/MANTA-30570", "MANTA-30570")</f>
        <v/>
      </c>
      <c r="C44" t="inlineStr">
        <is>
          <t>30976</t>
        </is>
      </c>
      <c r="D44" t="inlineStr">
        <is>
          <t>Liberado Engenharia</t>
        </is>
      </c>
      <c r="E44" t="inlineStr">
        <is>
          <t>🟢RECEBIDO LIBERADO</t>
        </is>
      </c>
      <c r="F44" t="inlineStr">
        <is>
          <t>TOYOTA - COROLLA SEDAN - 2026</t>
        </is>
      </c>
      <c r="G44" t="inlineStr">
        <is>
          <t>06/03/2026</t>
        </is>
      </c>
    </row>
    <row r="45">
      <c r="A45" t="inlineStr">
        <is>
          <t>Manta</t>
        </is>
      </c>
      <c r="B45">
        <f>HYPERLINK("https://carboncars.atlassian.net/browse/MANTA-30569", "MANTA-30569")</f>
        <v/>
      </c>
      <c r="C45" t="inlineStr">
        <is>
          <t>30975</t>
        </is>
      </c>
      <c r="D45" t="inlineStr">
        <is>
          <t>Liberado Engenharia</t>
        </is>
      </c>
      <c r="E45" t="inlineStr">
        <is>
          <t>🟢RECEBIDO LIBERADO</t>
        </is>
      </c>
      <c r="F45" t="inlineStr">
        <is>
          <t>TOYOTA - COROLLA SEDAN - 2026</t>
        </is>
      </c>
      <c r="G45" t="inlineStr">
        <is>
          <t>06/03/2026</t>
        </is>
      </c>
    </row>
    <row r="46">
      <c r="A46" t="inlineStr">
        <is>
          <t>Manta</t>
        </is>
      </c>
      <c r="B46">
        <f>HYPERLINK("https://carboncars.atlassian.net/browse/MANTA-30566", "MANTA-30566")</f>
        <v/>
      </c>
      <c r="C46" t="inlineStr">
        <is>
          <t>30972</t>
        </is>
      </c>
      <c r="D46" t="inlineStr">
        <is>
          <t>Liberado Engenharia</t>
        </is>
      </c>
      <c r="E46" t="inlineStr">
        <is>
          <t>⚪️RECEBIDO ENCAMINHADO</t>
        </is>
      </c>
      <c r="F46" t="inlineStr">
        <is>
          <t>HONDA - NEW HR-V SUV - 2026</t>
        </is>
      </c>
      <c r="G46" t="inlineStr">
        <is>
          <t>09/03/2026</t>
        </is>
      </c>
    </row>
    <row r="47">
      <c r="A47" t="inlineStr">
        <is>
          <t>Manta</t>
        </is>
      </c>
      <c r="B47">
        <f>HYPERLINK("https://carboncars.atlassian.net/browse/MANTA-30557", "MANTA-30557")</f>
        <v/>
      </c>
      <c r="C47" t="inlineStr">
        <is>
          <t>30963</t>
        </is>
      </c>
      <c r="D47" t="inlineStr">
        <is>
          <t>Liberado Engenharia</t>
        </is>
      </c>
      <c r="E47" t="inlineStr">
        <is>
          <t>⚪️RECEBIDO ENCAMINHADO</t>
        </is>
      </c>
      <c r="F47" t="inlineStr">
        <is>
          <t>VOLVO - EX30 ULTRA SUV - 2026</t>
        </is>
      </c>
      <c r="G47" t="inlineStr">
        <is>
          <t>09/03/2026</t>
        </is>
      </c>
    </row>
    <row r="48">
      <c r="A48" t="inlineStr">
        <is>
          <t>Manta</t>
        </is>
      </c>
      <c r="B48">
        <f>HYPERLINK("https://carboncars.atlassian.net/browse/MANTA-30553", "MANTA-30553")</f>
        <v/>
      </c>
      <c r="C48" t="inlineStr">
        <is>
          <t>30959</t>
        </is>
      </c>
      <c r="D48" t="inlineStr">
        <is>
          <t>Liberado Engenharia</t>
        </is>
      </c>
      <c r="E48" t="inlineStr">
        <is>
          <t>⚪️RECEBIDO ENCAMINHADO</t>
        </is>
      </c>
      <c r="F48" t="inlineStr">
        <is>
          <t>RAM - RAMPAGE PICK-UP - 2026</t>
        </is>
      </c>
      <c r="G48" t="inlineStr">
        <is>
          <t>09/03/2026</t>
        </is>
      </c>
    </row>
    <row r="49">
      <c r="A49" t="inlineStr">
        <is>
          <t>Manta</t>
        </is>
      </c>
      <c r="B49">
        <f>HYPERLINK("https://carboncars.atlassian.net/browse/MANTA-30530", "MANTA-30530")</f>
        <v/>
      </c>
      <c r="C49" t="inlineStr">
        <is>
          <t>30939</t>
        </is>
      </c>
      <c r="D49" t="inlineStr">
        <is>
          <t>Liberado Engenharia</t>
        </is>
      </c>
      <c r="E49" t="inlineStr">
        <is>
          <t>⚪️RECEBIDO ENCAMINHADO</t>
        </is>
      </c>
      <c r="F49" t="inlineStr">
        <is>
          <t>TOYOTA - COROLLA CROSS - 2026</t>
        </is>
      </c>
      <c r="G49" t="inlineStr">
        <is>
          <t>13/03/2026</t>
        </is>
      </c>
    </row>
    <row r="50">
      <c r="A50" t="inlineStr">
        <is>
          <t>Manta</t>
        </is>
      </c>
      <c r="B50">
        <f>HYPERLINK("https://carboncars.atlassian.net/browse/MANTA-30526", "MANTA-30526")</f>
        <v/>
      </c>
      <c r="C50" t="inlineStr">
        <is>
          <t>30935</t>
        </is>
      </c>
      <c r="D50" t="inlineStr">
        <is>
          <t>Liberado Engenharia</t>
        </is>
      </c>
      <c r="E50" t="inlineStr">
        <is>
          <t>🟢RECEBIDO LIBERADO</t>
        </is>
      </c>
      <c r="F50" t="inlineStr">
        <is>
          <t>TOYOTA - COROLLA SEDAN - 2026</t>
        </is>
      </c>
      <c r="G50" t="inlineStr">
        <is>
          <t>09/03/2026</t>
        </is>
      </c>
    </row>
    <row r="51">
      <c r="A51" t="inlineStr">
        <is>
          <t>Manta</t>
        </is>
      </c>
      <c r="B51">
        <f>HYPERLINK("https://carboncars.atlassian.net/browse/MANTA-30525", "MANTA-30525")</f>
        <v/>
      </c>
      <c r="C51" t="inlineStr">
        <is>
          <t>30934</t>
        </is>
      </c>
      <c r="D51" t="inlineStr">
        <is>
          <t>Liberado Engenharia</t>
        </is>
      </c>
      <c r="E51" t="inlineStr">
        <is>
          <t>🟢RECEBIDO LIBERADO</t>
        </is>
      </c>
      <c r="F51" t="inlineStr">
        <is>
          <t>TOYOTA - COROLLA SEDAN - 2026</t>
        </is>
      </c>
      <c r="G51" t="inlineStr">
        <is>
          <t>09/03/2026</t>
        </is>
      </c>
    </row>
    <row r="52">
      <c r="A52" t="inlineStr">
        <is>
          <t>Manta</t>
        </is>
      </c>
      <c r="B52">
        <f>HYPERLINK("https://carboncars.atlassian.net/browse/MANTA-30523", "MANTA-30523")</f>
        <v/>
      </c>
      <c r="C52" t="inlineStr">
        <is>
          <t>30932</t>
        </is>
      </c>
      <c r="D52" t="inlineStr">
        <is>
          <t>Liberado Engenharia</t>
        </is>
      </c>
      <c r="E52" t="inlineStr">
        <is>
          <t>🟢RECEBIDO LIBERADO</t>
        </is>
      </c>
      <c r="F52" t="inlineStr">
        <is>
          <t>TOYOTA - COROLLA SEDAN - 2026</t>
        </is>
      </c>
      <c r="G52" t="inlineStr">
        <is>
          <t>09/03/2026</t>
        </is>
      </c>
    </row>
    <row r="53">
      <c r="A53" t="inlineStr">
        <is>
          <t>Manta</t>
        </is>
      </c>
      <c r="B53">
        <f>HYPERLINK("https://carboncars.atlassian.net/browse/MANTA-30521", "MANTA-30521")</f>
        <v/>
      </c>
      <c r="C53" t="inlineStr">
        <is>
          <t>30930</t>
        </is>
      </c>
      <c r="D53" t="inlineStr">
        <is>
          <t>Liberado Engenharia</t>
        </is>
      </c>
      <c r="E53" t="inlineStr">
        <is>
          <t>🟢RECEBIDO LIBERADO</t>
        </is>
      </c>
      <c r="F53" t="inlineStr">
        <is>
          <t>TOYOTA - COROLLA CROSS - 2026</t>
        </is>
      </c>
      <c r="G53" t="inlineStr">
        <is>
          <t>06/03/2026</t>
        </is>
      </c>
    </row>
    <row r="54">
      <c r="A54" t="inlineStr">
        <is>
          <t>Manta</t>
        </is>
      </c>
      <c r="B54">
        <f>HYPERLINK("https://carboncars.atlassian.net/browse/MANTA-30515", "MANTA-30515")</f>
        <v/>
      </c>
      <c r="C54" t="inlineStr">
        <is>
          <t>30924</t>
        </is>
      </c>
      <c r="D54" t="inlineStr">
        <is>
          <t>Liberado Engenharia</t>
        </is>
      </c>
      <c r="E54" t="inlineStr">
        <is>
          <t>🟢RECEBIDO LIBERADO</t>
        </is>
      </c>
      <c r="F54" t="inlineStr">
        <is>
          <t>TOYOTA - COROLLA CROSS - 2026</t>
        </is>
      </c>
      <c r="G54" t="inlineStr">
        <is>
          <t>06/03/2026</t>
        </is>
      </c>
    </row>
    <row r="55">
      <c r="A55" t="inlineStr">
        <is>
          <t>Manta</t>
        </is>
      </c>
      <c r="B55">
        <f>HYPERLINK("https://carboncars.atlassian.net/browse/MANTA-30514", "MANTA-30514")</f>
        <v/>
      </c>
      <c r="C55" t="inlineStr">
        <is>
          <t>30923</t>
        </is>
      </c>
      <c r="D55" t="inlineStr">
        <is>
          <t>Liberado Engenharia</t>
        </is>
      </c>
      <c r="E55" t="inlineStr">
        <is>
          <t>🟢RECEBIDO LIBERADO</t>
        </is>
      </c>
      <c r="F55" t="inlineStr">
        <is>
          <t>TOYOTA - COROLLA CROSS - 2026</t>
        </is>
      </c>
      <c r="G55" t="inlineStr">
        <is>
          <t>06/03/2026</t>
        </is>
      </c>
    </row>
    <row r="56">
      <c r="A56" t="inlineStr">
        <is>
          <t>Manta</t>
        </is>
      </c>
      <c r="B56">
        <f>HYPERLINK("https://carboncars.atlassian.net/browse/MANTA-30513", "MANTA-30513")</f>
        <v/>
      </c>
      <c r="C56" t="inlineStr">
        <is>
          <t>30922</t>
        </is>
      </c>
      <c r="D56" t="inlineStr">
        <is>
          <t>Liberado Engenharia</t>
        </is>
      </c>
      <c r="E56" t="inlineStr">
        <is>
          <t>🟢RECEBIDO LIBERADO</t>
        </is>
      </c>
      <c r="F56" t="inlineStr">
        <is>
          <t>TOYOTA - COROLLA SEDAN - 2026</t>
        </is>
      </c>
      <c r="G56" t="inlineStr">
        <is>
          <t>09/03/2026</t>
        </is>
      </c>
    </row>
    <row r="57">
      <c r="A57" t="inlineStr">
        <is>
          <t>Manta</t>
        </is>
      </c>
      <c r="B57">
        <f>HYPERLINK("https://carboncars.atlassian.net/browse/MANTA-30512", "MANTA-30512")</f>
        <v/>
      </c>
      <c r="C57" t="inlineStr">
        <is>
          <t>30921</t>
        </is>
      </c>
      <c r="D57" t="inlineStr">
        <is>
          <t>Liberado Engenharia</t>
        </is>
      </c>
      <c r="E57" t="inlineStr">
        <is>
          <t>🟢RECEBIDO LIBERADO</t>
        </is>
      </c>
      <c r="F57" t="inlineStr">
        <is>
          <t>TOYOTA - COROLLA SEDAN - 2026</t>
        </is>
      </c>
      <c r="G57" t="inlineStr">
        <is>
          <t>06/03/2026</t>
        </is>
      </c>
    </row>
    <row r="58">
      <c r="A58" t="inlineStr">
        <is>
          <t>Manta</t>
        </is>
      </c>
      <c r="B58">
        <f>HYPERLINK("https://carboncars.atlassian.net/browse/MANTA-30511", "MANTA-30511")</f>
        <v/>
      </c>
      <c r="C58" t="inlineStr">
        <is>
          <t>30920</t>
        </is>
      </c>
      <c r="D58" t="inlineStr">
        <is>
          <t>Liberado Engenharia</t>
        </is>
      </c>
      <c r="E58" t="inlineStr">
        <is>
          <t>🟢RECEBIDO LIBERADO</t>
        </is>
      </c>
      <c r="F58" t="inlineStr">
        <is>
          <t>TOYOTA - COROLLA SEDAN - 2026</t>
        </is>
      </c>
      <c r="G58" t="inlineStr">
        <is>
          <t>09/03/2026</t>
        </is>
      </c>
    </row>
    <row r="59">
      <c r="A59" t="inlineStr">
        <is>
          <t>Manta</t>
        </is>
      </c>
      <c r="B59">
        <f>HYPERLINK("https://carboncars.atlassian.net/browse/MANTA-30510", "MANTA-30510")</f>
        <v/>
      </c>
      <c r="C59" t="inlineStr">
        <is>
          <t>30919</t>
        </is>
      </c>
      <c r="D59" t="inlineStr">
        <is>
          <t>Liberado Engenharia</t>
        </is>
      </c>
      <c r="E59" t="inlineStr">
        <is>
          <t>🟢RECEBIDO LIBERADO</t>
        </is>
      </c>
      <c r="F59" t="inlineStr">
        <is>
          <t>TOYOTA - COROLLA CROSS - 2026</t>
        </is>
      </c>
      <c r="G59" t="inlineStr">
        <is>
          <t>06/03/2026</t>
        </is>
      </c>
    </row>
    <row r="60">
      <c r="A60" t="inlineStr">
        <is>
          <t>Manta</t>
        </is>
      </c>
      <c r="B60">
        <f>HYPERLINK("https://carboncars.atlassian.net/browse/MANTA-30509", "MANTA-30509")</f>
        <v/>
      </c>
      <c r="C60" t="inlineStr">
        <is>
          <t>30918</t>
        </is>
      </c>
      <c r="D60" t="inlineStr">
        <is>
          <t>Liberado Engenharia</t>
        </is>
      </c>
      <c r="E60" t="inlineStr">
        <is>
          <t>⚪️RECEBIDO ENCAMINHADO</t>
        </is>
      </c>
      <c r="F60" t="inlineStr">
        <is>
          <t>TOYOTA - COROLLA CROSS - 2026</t>
        </is>
      </c>
      <c r="G60" t="inlineStr">
        <is>
          <t>13/03/2026</t>
        </is>
      </c>
    </row>
    <row r="61">
      <c r="A61" t="inlineStr">
        <is>
          <t>Manta</t>
        </is>
      </c>
      <c r="B61">
        <f>HYPERLINK("https://carboncars.atlassian.net/browse/MANTA-30507", "MANTA-30507")</f>
        <v/>
      </c>
      <c r="C61" t="inlineStr">
        <is>
          <t>30916</t>
        </is>
      </c>
      <c r="D61" t="inlineStr">
        <is>
          <t>Liberado Engenharia</t>
        </is>
      </c>
      <c r="E61" t="inlineStr">
        <is>
          <t>🟢RECEBIDO LIBERADO</t>
        </is>
      </c>
      <c r="F61" t="inlineStr">
        <is>
          <t>TOYOTA - COROLLA CROSS - 2026</t>
        </is>
      </c>
      <c r="G61" t="inlineStr">
        <is>
          <t>06/03/2026</t>
        </is>
      </c>
    </row>
    <row r="62">
      <c r="A62" t="inlineStr">
        <is>
          <t>Manta</t>
        </is>
      </c>
      <c r="B62">
        <f>HYPERLINK("https://carboncars.atlassian.net/browse/MANTA-30506", "MANTA-30506")</f>
        <v/>
      </c>
      <c r="C62" t="inlineStr">
        <is>
          <t>30915</t>
        </is>
      </c>
      <c r="D62" t="inlineStr">
        <is>
          <t>Liberado Engenharia</t>
        </is>
      </c>
      <c r="E62" t="inlineStr">
        <is>
          <t>🟢RECEBIDO LIBERADO</t>
        </is>
      </c>
      <c r="F62" t="inlineStr">
        <is>
          <t>TOYOTA - COROLLA CROSS - 2026</t>
        </is>
      </c>
      <c r="G62" t="inlineStr">
        <is>
          <t>06/03/2026</t>
        </is>
      </c>
    </row>
    <row r="63">
      <c r="A63" t="inlineStr">
        <is>
          <t>Manta</t>
        </is>
      </c>
      <c r="B63">
        <f>HYPERLINK("https://carboncars.atlassian.net/browse/MANTA-30505", "MANTA-30505")</f>
        <v/>
      </c>
      <c r="C63" t="inlineStr">
        <is>
          <t>30914</t>
        </is>
      </c>
      <c r="D63" t="inlineStr">
        <is>
          <t>Liberado Engenharia</t>
        </is>
      </c>
      <c r="E63" t="inlineStr">
        <is>
          <t>🟢RECEBIDO LIBERADO</t>
        </is>
      </c>
      <c r="F63" t="inlineStr">
        <is>
          <t>TOYOTA - COROLLA CROSS - 2026</t>
        </is>
      </c>
      <c r="G63" t="inlineStr">
        <is>
          <t>06/03/2026</t>
        </is>
      </c>
    </row>
    <row r="64">
      <c r="A64" t="inlineStr">
        <is>
          <t>Manta</t>
        </is>
      </c>
      <c r="B64">
        <f>HYPERLINK("https://carboncars.atlassian.net/browse/MANTA-30495", "MANTA-30495")</f>
        <v/>
      </c>
      <c r="C64" t="inlineStr">
        <is>
          <t>30904</t>
        </is>
      </c>
      <c r="D64" t="inlineStr">
        <is>
          <t>Liberado Engenharia</t>
        </is>
      </c>
      <c r="E64" t="inlineStr">
        <is>
          <t>⚪️RECEBIDO ENCAMINHADO</t>
        </is>
      </c>
      <c r="F64" t="inlineStr">
        <is>
          <t>GWM - HAVAL H6 HEV 2 - 2026</t>
        </is>
      </c>
      <c r="G64" t="inlineStr">
        <is>
          <t>09/03/2026</t>
        </is>
      </c>
    </row>
    <row r="65">
      <c r="A65" t="inlineStr">
        <is>
          <t>Manta</t>
        </is>
      </c>
      <c r="B65">
        <f>HYPERLINK("https://carboncars.atlassian.net/browse/MANTA-30464", "MANTA-30464")</f>
        <v/>
      </c>
      <c r="C65" t="inlineStr">
        <is>
          <t>30877</t>
        </is>
      </c>
      <c r="D65" t="inlineStr">
        <is>
          <t>Liberado Engenharia</t>
        </is>
      </c>
      <c r="E65" t="inlineStr">
        <is>
          <t>🟢RECEBIDO LIBERADO</t>
        </is>
      </c>
      <c r="F65" t="inlineStr">
        <is>
          <t>TOYOTA - COROLLA CROSS - 2026</t>
        </is>
      </c>
      <c r="G65" t="inlineStr">
        <is>
          <t>06/03/2026</t>
        </is>
      </c>
    </row>
    <row r="66">
      <c r="A66" t="inlineStr">
        <is>
          <t>Manta</t>
        </is>
      </c>
      <c r="B66">
        <f>HYPERLINK("https://carboncars.atlassian.net/browse/MANTA-30463", "MANTA-30463")</f>
        <v/>
      </c>
      <c r="C66" t="inlineStr">
        <is>
          <t>30876</t>
        </is>
      </c>
      <c r="D66" t="inlineStr">
        <is>
          <t>Liberado Engenharia</t>
        </is>
      </c>
      <c r="E66" t="inlineStr">
        <is>
          <t>🟢RECEBIDO LIBERADO</t>
        </is>
      </c>
      <c r="F66" t="inlineStr">
        <is>
          <t>TOYOTA - COROLLA SEDAN - 2026</t>
        </is>
      </c>
      <c r="G66" t="inlineStr">
        <is>
          <t>06/03/2026</t>
        </is>
      </c>
    </row>
    <row r="67">
      <c r="A67" t="inlineStr">
        <is>
          <t>Manta</t>
        </is>
      </c>
      <c r="B67">
        <f>HYPERLINK("https://carboncars.atlassian.net/browse/MANTA-30462", "MANTA-30462")</f>
        <v/>
      </c>
      <c r="C67" t="inlineStr">
        <is>
          <t>30875</t>
        </is>
      </c>
      <c r="D67" t="inlineStr">
        <is>
          <t>Liberado Engenharia</t>
        </is>
      </c>
      <c r="E67" t="inlineStr">
        <is>
          <t>🟢RECEBIDO LIBERADO</t>
        </is>
      </c>
      <c r="F67" t="inlineStr">
        <is>
          <t>TOYOTA - COROLLA CROSS - 2026</t>
        </is>
      </c>
      <c r="G67" t="inlineStr">
        <is>
          <t>06/03/2026</t>
        </is>
      </c>
    </row>
    <row r="68">
      <c r="A68" t="inlineStr">
        <is>
          <t>Manta</t>
        </is>
      </c>
      <c r="B68">
        <f>HYPERLINK("https://carboncars.atlassian.net/browse/MANTA-30445", "MANTA-30445")</f>
        <v/>
      </c>
      <c r="C68" t="inlineStr">
        <is>
          <t>30858</t>
        </is>
      </c>
      <c r="D68" t="inlineStr">
        <is>
          <t>Liberado Engenharia</t>
        </is>
      </c>
      <c r="E68" t="inlineStr">
        <is>
          <t>⚪️RECEBIDO ENCAMINHADO</t>
        </is>
      </c>
      <c r="F68" t="inlineStr">
        <is>
          <t>HONDA - WR-V - 2026</t>
        </is>
      </c>
      <c r="G68" t="inlineStr">
        <is>
          <t>09/03/2026</t>
        </is>
      </c>
    </row>
    <row r="69">
      <c r="A69" t="inlineStr">
        <is>
          <t>Manta</t>
        </is>
      </c>
      <c r="B69">
        <f>HYPERLINK("https://carboncars.atlassian.net/browse/MANTA-30440", "MANTA-30440")</f>
        <v/>
      </c>
      <c r="C69" t="inlineStr">
        <is>
          <t>30853</t>
        </is>
      </c>
      <c r="D69" t="inlineStr">
        <is>
          <t>Liberado Engenharia</t>
        </is>
      </c>
      <c r="E69" t="inlineStr">
        <is>
          <t>🟢RECEBIDO LIBERADO</t>
        </is>
      </c>
      <c r="F69" t="inlineStr">
        <is>
          <t>TOYOTA - COROLLA SEDAN - 2026</t>
        </is>
      </c>
      <c r="G69" t="inlineStr">
        <is>
          <t>06/03/2026</t>
        </is>
      </c>
    </row>
    <row r="70">
      <c r="A70" t="inlineStr">
        <is>
          <t>Manta</t>
        </is>
      </c>
      <c r="B70">
        <f>HYPERLINK("https://carboncars.atlassian.net/browse/MANTA-30428", "MANTA-30428")</f>
        <v/>
      </c>
      <c r="C70" t="inlineStr">
        <is>
          <t>30841</t>
        </is>
      </c>
      <c r="D70" t="inlineStr">
        <is>
          <t>Liberado Engenharia</t>
        </is>
      </c>
      <c r="E70" t="inlineStr">
        <is>
          <t>🟢RECEBIDO LIBERADO</t>
        </is>
      </c>
      <c r="F70" t="inlineStr">
        <is>
          <t>TOYOTA - COROLLA SEDAN - 2026</t>
        </is>
      </c>
      <c r="G70" t="inlineStr">
        <is>
          <t>06/03/2026</t>
        </is>
      </c>
    </row>
    <row r="71">
      <c r="A71" t="inlineStr">
        <is>
          <t>Manta</t>
        </is>
      </c>
      <c r="B71">
        <f>HYPERLINK("https://carboncars.atlassian.net/browse/MANTA-30421", "MANTA-30421")</f>
        <v/>
      </c>
      <c r="C71" t="inlineStr">
        <is>
          <t>30834</t>
        </is>
      </c>
      <c r="D71" t="inlineStr">
        <is>
          <t>Liberado Engenharia</t>
        </is>
      </c>
      <c r="E71" t="inlineStr">
        <is>
          <t>🟢RECEBIDO LIBERADO</t>
        </is>
      </c>
      <c r="F71" t="inlineStr">
        <is>
          <t>TOYOTA - COROLLA SEDAN - 2026</t>
        </is>
      </c>
      <c r="G71" t="inlineStr">
        <is>
          <t>06/03/2026</t>
        </is>
      </c>
    </row>
    <row r="72">
      <c r="A72" t="inlineStr">
        <is>
          <t>Manta</t>
        </is>
      </c>
      <c r="B72">
        <f>HYPERLINK("https://carboncars.atlassian.net/browse/MANTA-30420", "MANTA-30420")</f>
        <v/>
      </c>
      <c r="C72" t="inlineStr">
        <is>
          <t>30833</t>
        </is>
      </c>
      <c r="D72" t="inlineStr">
        <is>
          <t>Liberado Engenharia</t>
        </is>
      </c>
      <c r="E72" t="inlineStr">
        <is>
          <t>🟢RECEBIDO LIBERADO</t>
        </is>
      </c>
      <c r="F72" t="inlineStr">
        <is>
          <t>TOYOTA - COROLLA SEDAN - 2026</t>
        </is>
      </c>
      <c r="G72" t="inlineStr">
        <is>
          <t>06/03/2026</t>
        </is>
      </c>
    </row>
    <row r="73">
      <c r="A73" t="inlineStr">
        <is>
          <t>Manta</t>
        </is>
      </c>
      <c r="B73">
        <f>HYPERLINK("https://carboncars.atlassian.net/browse/MANTA-30390", "MANTA-30390")</f>
        <v/>
      </c>
      <c r="C73" t="inlineStr">
        <is>
          <t>30803</t>
        </is>
      </c>
      <c r="D73" t="inlineStr">
        <is>
          <t>Liberado Engenharia</t>
        </is>
      </c>
      <c r="E73" t="inlineStr">
        <is>
          <t>🟢RECEBIDO LIBERADO</t>
        </is>
      </c>
      <c r="F73" t="inlineStr">
        <is>
          <t>TOYOTA - COROLLA CROSS - 2026</t>
        </is>
      </c>
      <c r="G73" t="inlineStr">
        <is>
          <t>06/03/2026</t>
        </is>
      </c>
    </row>
    <row r="74">
      <c r="A74" t="inlineStr">
        <is>
          <t>Manta</t>
        </is>
      </c>
      <c r="B74">
        <f>HYPERLINK("https://carboncars.atlassian.net/browse/MANTA-30377", "MANTA-30377")</f>
        <v/>
      </c>
      <c r="C74" t="inlineStr">
        <is>
          <t>30796</t>
        </is>
      </c>
      <c r="D74" t="inlineStr">
        <is>
          <t>Liberado Engenharia</t>
        </is>
      </c>
      <c r="E74" t="inlineStr">
        <is>
          <t>🟢RECEBIDO LIBERADO</t>
        </is>
      </c>
      <c r="F74" t="inlineStr">
        <is>
          <t>TOYOTA - COROLLA CROSS - 2026</t>
        </is>
      </c>
      <c r="G74" t="inlineStr">
        <is>
          <t>06/03/2026</t>
        </is>
      </c>
    </row>
    <row r="75">
      <c r="A75" t="inlineStr">
        <is>
          <t>Manta</t>
        </is>
      </c>
      <c r="B75">
        <f>HYPERLINK("https://carboncars.atlassian.net/browse/MANTA-30367", "MANTA-30367")</f>
        <v/>
      </c>
      <c r="C75" t="inlineStr">
        <is>
          <t>30786</t>
        </is>
      </c>
      <c r="D75" t="inlineStr">
        <is>
          <t>Liberado Engenharia</t>
        </is>
      </c>
      <c r="E75" t="inlineStr">
        <is>
          <t>🟢RECEBIDO LIBERADO</t>
        </is>
      </c>
      <c r="F75" t="inlineStr">
        <is>
          <t>TOYOTA - COROLLA SEDAN - 2026</t>
        </is>
      </c>
      <c r="G75" t="inlineStr">
        <is>
          <t>06/03/2026</t>
        </is>
      </c>
    </row>
    <row r="76">
      <c r="A76" t="inlineStr">
        <is>
          <t>Manta</t>
        </is>
      </c>
      <c r="B76">
        <f>HYPERLINK("https://carboncars.atlassian.net/browse/MANTA-30324", "MANTA-30324")</f>
        <v/>
      </c>
      <c r="C76" t="inlineStr">
        <is>
          <t>30750</t>
        </is>
      </c>
      <c r="D76" t="inlineStr">
        <is>
          <t>Liberado Engenharia</t>
        </is>
      </c>
      <c r="E76" t="inlineStr">
        <is>
          <t>🟢RECEBIDO LIBERADO</t>
        </is>
      </c>
      <c r="F76" t="inlineStr">
        <is>
          <t>LAND ROVER - DISCOVERY SPORT SUV - 2023</t>
        </is>
      </c>
      <c r="G76" t="inlineStr">
        <is>
          <t>06/03/2026</t>
        </is>
      </c>
    </row>
    <row r="77">
      <c r="A77" t="inlineStr">
        <is>
          <t>Manta</t>
        </is>
      </c>
      <c r="B77">
        <f>HYPERLINK("https://carboncars.atlassian.net/browse/MANTA-30321", "MANTA-30321")</f>
        <v/>
      </c>
      <c r="C77" t="inlineStr">
        <is>
          <t>30747</t>
        </is>
      </c>
      <c r="D77" t="inlineStr">
        <is>
          <t>Liberado Engenharia</t>
        </is>
      </c>
      <c r="E77" t="inlineStr">
        <is>
          <t>⚪️RECEBIDO ENCAMINHADO</t>
        </is>
      </c>
      <c r="F77" t="inlineStr">
        <is>
          <t>GWM - HAVAL H6 HEV 2 - 2026</t>
        </is>
      </c>
      <c r="G77" t="inlineStr">
        <is>
          <t>09/03/2026</t>
        </is>
      </c>
    </row>
    <row r="78">
      <c r="A78" t="inlineStr">
        <is>
          <t>Manta</t>
        </is>
      </c>
      <c r="B78">
        <f>HYPERLINK("https://carboncars.atlassian.net/browse/MANTA-30309", "MANTA-30309")</f>
        <v/>
      </c>
      <c r="C78" t="inlineStr">
        <is>
          <t>30735</t>
        </is>
      </c>
      <c r="D78" t="inlineStr">
        <is>
          <t>Liberado Engenharia</t>
        </is>
      </c>
      <c r="E78" t="inlineStr">
        <is>
          <t>🟢RECEBIDO LIBERADO</t>
        </is>
      </c>
      <c r="F78" t="inlineStr">
        <is>
          <t>TOYOTA - SW4 SUV - 2026</t>
        </is>
      </c>
      <c r="G78" t="inlineStr">
        <is>
          <t>06/03/2026</t>
        </is>
      </c>
    </row>
    <row r="79">
      <c r="A79" t="inlineStr">
        <is>
          <t>Manta</t>
        </is>
      </c>
      <c r="B79">
        <f>HYPERLINK("https://carboncars.atlassian.net/browse/MANTA-30306", "MANTA-30306")</f>
        <v/>
      </c>
      <c r="C79" t="inlineStr">
        <is>
          <t>30732</t>
        </is>
      </c>
      <c r="D79" t="inlineStr">
        <is>
          <t>Liberado Engenharia</t>
        </is>
      </c>
      <c r="E79" t="inlineStr">
        <is>
          <t>🟢RECEBIDO LIBERADO</t>
        </is>
      </c>
      <c r="F79" t="inlineStr">
        <is>
          <t>TOYOTA - COROLLA SEDAN - 2026</t>
        </is>
      </c>
      <c r="G79" t="inlineStr">
        <is>
          <t>06/03/2026</t>
        </is>
      </c>
    </row>
    <row r="80">
      <c r="A80" t="inlineStr">
        <is>
          <t>Manta</t>
        </is>
      </c>
      <c r="B80">
        <f>HYPERLINK("https://carboncars.atlassian.net/browse/MANTA-30257", "MANTA-30257")</f>
        <v/>
      </c>
      <c r="C80" t="inlineStr">
        <is>
          <t>30687</t>
        </is>
      </c>
      <c r="D80" t="inlineStr">
        <is>
          <t>Liberado Engenharia</t>
        </is>
      </c>
      <c r="E80" t="inlineStr">
        <is>
          <t>⚪️RECEBIDO ENCAMINHADO</t>
        </is>
      </c>
      <c r="F80" t="inlineStr">
        <is>
          <t>TOYOTA - SW4 SUV - 2026</t>
        </is>
      </c>
      <c r="G80" t="inlineStr">
        <is>
          <t>13/03/2026</t>
        </is>
      </c>
    </row>
    <row r="81">
      <c r="A81" t="inlineStr">
        <is>
          <t>Manta</t>
        </is>
      </c>
      <c r="B81">
        <f>HYPERLINK("https://carboncars.atlassian.net/browse/MANTA-30242", "MANTA-30242")</f>
        <v/>
      </c>
      <c r="C81" t="inlineStr">
        <is>
          <t>30674</t>
        </is>
      </c>
      <c r="D81" t="inlineStr">
        <is>
          <t>Liberado Engenharia</t>
        </is>
      </c>
      <c r="E81" t="inlineStr">
        <is>
          <t>🟢RECEBIDO LIBERADO</t>
        </is>
      </c>
      <c r="F81" t="inlineStr">
        <is>
          <t>TOYOTA - COROLLA CROSS - 2026</t>
        </is>
      </c>
      <c r="G81" t="inlineStr">
        <is>
          <t>09/03/2026</t>
        </is>
      </c>
    </row>
    <row r="82">
      <c r="A82" t="inlineStr">
        <is>
          <t>Manta</t>
        </is>
      </c>
      <c r="B82">
        <f>HYPERLINK("https://carboncars.atlassian.net/browse/MANTA-30224", "MANTA-30224")</f>
        <v/>
      </c>
      <c r="C82" t="inlineStr">
        <is>
          <t>30657</t>
        </is>
      </c>
      <c r="D82" t="inlineStr">
        <is>
          <t>Liberado Engenharia</t>
        </is>
      </c>
      <c r="E82" t="inlineStr">
        <is>
          <t>⚪️RECEBIDO ENCAMINHADO</t>
        </is>
      </c>
      <c r="F82" t="inlineStr">
        <is>
          <t>TOYOTA - SW4 SUV - 2026</t>
        </is>
      </c>
      <c r="G82" t="inlineStr">
        <is>
          <t>13/03/2026</t>
        </is>
      </c>
    </row>
    <row r="83">
      <c r="A83" t="inlineStr">
        <is>
          <t>Manta</t>
        </is>
      </c>
      <c r="B83">
        <f>HYPERLINK("https://carboncars.atlassian.net/browse/MANTA-30196", "MANTA-30196")</f>
        <v/>
      </c>
      <c r="C83" t="inlineStr">
        <is>
          <t>30632</t>
        </is>
      </c>
      <c r="D83" t="inlineStr">
        <is>
          <t>Liberado Engenharia</t>
        </is>
      </c>
      <c r="E83" t="inlineStr">
        <is>
          <t>🟢RECEBIDO LIBERADO</t>
        </is>
      </c>
      <c r="F83" t="inlineStr">
        <is>
          <t>TOYOTA - COROLLA SEDAN - 2026</t>
        </is>
      </c>
      <c r="G83" t="inlineStr">
        <is>
          <t>06/03/2026</t>
        </is>
      </c>
    </row>
    <row r="84">
      <c r="A84" t="inlineStr">
        <is>
          <t>Manta</t>
        </is>
      </c>
      <c r="B84">
        <f>HYPERLINK("https://carboncars.atlassian.net/browse/MANTA-30184", "MANTA-30184")</f>
        <v/>
      </c>
      <c r="C84" t="inlineStr">
        <is>
          <t>30624</t>
        </is>
      </c>
      <c r="D84" t="inlineStr">
        <is>
          <t>Liberado Engenharia</t>
        </is>
      </c>
      <c r="E84" t="inlineStr">
        <is>
          <t>⚪️RECEBIDO ENCAMINHADO</t>
        </is>
      </c>
      <c r="F84" t="inlineStr">
        <is>
          <t>BMW - X1 SUV - 2026</t>
        </is>
      </c>
      <c r="G84" t="inlineStr">
        <is>
          <t>09/03/2026</t>
        </is>
      </c>
    </row>
    <row r="85">
      <c r="A85" t="inlineStr">
        <is>
          <t>Manta</t>
        </is>
      </c>
      <c r="B85">
        <f>HYPERLINK("https://carboncars.atlassian.net/browse/MANTA-30135", "MANTA-30135")</f>
        <v/>
      </c>
      <c r="C85" t="inlineStr">
        <is>
          <t>30583</t>
        </is>
      </c>
      <c r="D85" t="inlineStr">
        <is>
          <t>Liberado Engenharia</t>
        </is>
      </c>
      <c r="E85" t="inlineStr">
        <is>
          <t>🟢RECEBIDO LIBERADO</t>
        </is>
      </c>
      <c r="F85" t="inlineStr">
        <is>
          <t>TOYOTA - COROLLA CROSS - 2026</t>
        </is>
      </c>
      <c r="G85" t="inlineStr">
        <is>
          <t>06/03/2026</t>
        </is>
      </c>
    </row>
    <row r="86">
      <c r="A86" t="inlineStr">
        <is>
          <t>Manta</t>
        </is>
      </c>
      <c r="B86">
        <f>HYPERLINK("https://carboncars.atlassian.net/browse/MANTA-30013", "MANTA-30013")</f>
        <v/>
      </c>
      <c r="C86" t="inlineStr">
        <is>
          <t>30472</t>
        </is>
      </c>
      <c r="D86" t="inlineStr">
        <is>
          <t>A Produzir</t>
        </is>
      </c>
      <c r="E86" t="inlineStr">
        <is>
          <t>🟢RECEBIDO LIBERADO</t>
        </is>
      </c>
      <c r="F86" t="inlineStr">
        <is>
          <t>LAND ROVER - DISCOVERY SPORT SUV - 2023</t>
        </is>
      </c>
      <c r="G86" t="inlineStr">
        <is>
          <t>09/03/2026</t>
        </is>
      </c>
    </row>
    <row r="87">
      <c r="A87" t="inlineStr">
        <is>
          <t>Manta</t>
        </is>
      </c>
      <c r="B87">
        <f>HYPERLINK("https://carboncars.atlassian.net/browse/MANTA-29923", "MANTA-29923")</f>
        <v/>
      </c>
      <c r="C87" t="inlineStr">
        <is>
          <t>30392</t>
        </is>
      </c>
      <c r="D87" t="inlineStr">
        <is>
          <t>Liberado Engenharia</t>
        </is>
      </c>
      <c r="E87" t="inlineStr">
        <is>
          <t>🟢RECEBIDO LIBERADO</t>
        </is>
      </c>
      <c r="F87" t="inlineStr">
        <is>
          <t>TOYOTA - COROLLA SEDAN - 2026</t>
        </is>
      </c>
      <c r="G87" t="inlineStr">
        <is>
          <t>06/03/2026</t>
        </is>
      </c>
    </row>
    <row r="88">
      <c r="A88" t="inlineStr">
        <is>
          <t>Manta</t>
        </is>
      </c>
      <c r="B88">
        <f>HYPERLINK("https://carboncars.atlassian.net/browse/MANTA-29866", "MANTA-29866")</f>
        <v/>
      </c>
      <c r="C88" t="inlineStr">
        <is>
          <t>30344</t>
        </is>
      </c>
      <c r="D88" t="inlineStr">
        <is>
          <t>Liberado Engenharia</t>
        </is>
      </c>
      <c r="E88" t="inlineStr">
        <is>
          <t>⚪️RECEBIDO ENCAMINHADO</t>
        </is>
      </c>
      <c r="F88" t="inlineStr">
        <is>
          <t>LAND ROVER - DISCOVERY METROPOLITAN - 2024</t>
        </is>
      </c>
      <c r="G88" t="inlineStr">
        <is>
          <t>13/03/2026</t>
        </is>
      </c>
    </row>
    <row r="89">
      <c r="A89" t="inlineStr">
        <is>
          <t>Manta</t>
        </is>
      </c>
      <c r="B89">
        <f>HYPERLINK("https://carboncars.atlassian.net/browse/MANTA-29791", "MANTA-29791")</f>
        <v/>
      </c>
      <c r="C89" t="inlineStr">
        <is>
          <t>30281</t>
        </is>
      </c>
      <c r="D89" t="inlineStr">
        <is>
          <t>Liberado Engenharia</t>
        </is>
      </c>
      <c r="E89" t="inlineStr">
        <is>
          <t>🟢RECEBIDO LIBERADO</t>
        </is>
      </c>
      <c r="F89" t="inlineStr">
        <is>
          <t>MERCEDES-BENZ - GLS SUV - 2026</t>
        </is>
      </c>
      <c r="G89" t="inlineStr">
        <is>
          <t>06/03/2026</t>
        </is>
      </c>
    </row>
    <row r="90">
      <c r="A90" t="inlineStr">
        <is>
          <t>Manta</t>
        </is>
      </c>
      <c r="B90">
        <f>HYPERLINK("https://carboncars.atlassian.net/browse/MANTA-29372", "MANTA-29372")</f>
        <v/>
      </c>
      <c r="C90" t="inlineStr">
        <is>
          <t>29901</t>
        </is>
      </c>
      <c r="D90" t="inlineStr">
        <is>
          <t>Liberado Engenharia</t>
        </is>
      </c>
      <c r="E90" t="inlineStr">
        <is>
          <t>🟢RECEBIDO LIBERADO</t>
        </is>
      </c>
      <c r="F90" t="inlineStr">
        <is>
          <t>TOYOTA - COROLLA SEDAN - 2026</t>
        </is>
      </c>
      <c r="G90" t="inlineStr">
        <is>
          <t>06/03/2026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2026-03-06T18:21:17Z</dcterms:created>
  <dcterms:modified xsi:type="dcterms:W3CDTF">2026-03-06T18:21:17Z</dcterms:modified>
</cp:coreProperties>
</file>